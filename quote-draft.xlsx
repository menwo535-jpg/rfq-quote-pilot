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7dcd4674244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 review" sheetId="1" r:id="Rbbe641749901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@"/>
    <x:numFmt numFmtId="202" formatCode="0.0000"/>
    <x:numFmt numFmtId="203" formatCode="#,##0.0000"/>
  </x:numFmts>
  <x:fonts count="6">
    <x:font>
      <x:sz val="11"/>
      <x:name val="Carlito"/>
    </x:font>
    <x:font>
      <x:sz val="10"/>
      <x:color rgb="FF183047"/>
      <x:name val="Arial"/>
    </x:font>
    <x:font>
      <x:b/>
      <x:sz val="16"/>
      <x:color rgb="FF193C56"/>
      <x:name val="Arial"/>
    </x:font>
    <x:font>
      <x:i/>
      <x:sz val="10"/>
      <x:color rgb="FF506579"/>
      <x:name val="Arial"/>
    </x:font>
    <x:font>
      <x:b/>
      <x:sz val="10"/>
      <x:color rgb="FF1830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93C56"/>
      </x:patternFill>
    </x:fill>
  </x:fills>
  <x:borders count="2">
    <x:border/>
    <x:border>
      <x:bottom style="thin">
        <x:color rgb="FFAAB9C5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d5f074a81145ea" /><Relationship Type="http://schemas.openxmlformats.org/officeDocument/2006/relationships/theme" Target="/xl/theme/theme1.xml" Id="Rf4adc7c05e8e4f1d" /><Relationship Type="http://schemas.openxmlformats.org/officeDocument/2006/relationships/sharedStrings" Target="/xl/sharedStrings.xml" Id="R4d2ac7cea4a74daa" /><Relationship Type="http://schemas.openxmlformats.org/officeDocument/2006/relationships/worksheet" Target="/xl/worksheets/sheet1.xml" Id="Rbbe6417499014668" /></Relationships>
</file>

<file path=xl/tables/table1.xml><?xml version="1.0" encoding="utf-8"?>
<x:table xmlns:x="http://schemas.openxmlformats.org/spreadsheetml/2006/main" id="1" name="QuoteLines" displayName="QuoteLines" ref="A12:K18" headerRowCount="1" totalsRowCount="0" totalsRowShown="0">
  <x:autoFilter ref="A12:K18"/>
  <x:tableColumns count="11">
    <x:tableColumn id="1" name="Source row"/>
    <x:tableColumn id="2" name="Product code"/>
    <x:tableColumn id="3" name="Requested description"/>
    <x:tableColumn id="4" name="Quantity"/>
    <x:tableColumn id="5" name="Unit"/>
    <x:tableColumn id="6" name="Approved unit price"/>
    <x:tableColumn id="7" name="Currency"/>
    <x:tableColumn id="8" name="Match status"/>
    <x:tableColumn id="9" name="Line amount"/>
    <x:tableColumn id="10" name="Review reason"/>
    <x:tableColumn id="11" name="Price-list version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7470adb5784372" /></Relationships>
</file>

<file path=xl/worksheets/sheet1.xml><?xml version="1.0" encoding="utf-8"?>
<x:worksheet xmlns:x="http://schemas.openxmlformats.org/spreadsheetml/2006/main">
  <x:sheetPr>
    <x:tabColor rgb="FF193C56"/>
  </x:sheetPr>
  <x:sheetViews>
    <x:sheetView showGridLines="0" workbookViewId="0"/>
  </x:sheetViews>
  <x:sheetFormatPr defaultRowHeight="15"/>
  <x:cols>
    <x:col min="1" max="1" width="15" hidden="0" customWidth="1"/>
    <x:col min="2" max="2" width="20" hidden="0" customWidth="1"/>
    <x:col min="3" max="3" width="30" hidden="0" customWidth="1"/>
    <x:col min="4" max="4" width="12" hidden="0" customWidth="1"/>
    <x:col min="5" max="5" width="11" hidden="0" customWidth="1"/>
    <x:col min="6" max="6" width="19" hidden="0" customWidth="1"/>
    <x:col min="7" max="7" width="16" hidden="0" customWidth="1"/>
    <x:col min="8" max="8" width="23" hidden="0" customWidth="1"/>
    <x:col min="9" max="9" width="19" hidden="0" customWidth="1"/>
    <x:col min="10" max="10" width="40" hidden="0" customWidth="1"/>
    <x:col min="11" max="11" width="24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2" customHeight="1">
      <x:c r="A2" s="3" t="str">
        <x:v>RFQ quotation draft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2" customHeight="1">
      <x:c r="A3" s="4" t="str">
        <x:v>Synthetic demonstration. Human approval is required before sending a quotation.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2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</x:row>
    <x:row r="5" ht="32" customHeight="1">
      <x:c r="A5" s="2" t="str">
        <x:v>Draft status</x:v>
      </x:c>
      <x:c r="B5" s="6" t="str">
        <x:f>IF(B7&gt;0,"REVIEW_REQUIRED","DRAFT_FOR_APPROVAL")</x:f>
        <x:v>REVIEW_REQUIRED</x:v>
      </x:c>
      <x:c r="C5" s="2"/>
      <x:c r="D5" s="2"/>
      <x:c r="E5" s="10" t="str">
        <x:v>Currency</x:v>
      </x:c>
      <x:c r="F5" s="10" t="str">
        <x:v>Matched subtotal</x:v>
      </x:c>
      <x:c r="G5" s="10" t="str">
        <x:v>Complete total</x:v>
      </x:c>
      <x:c r="H5" s="2"/>
      <x:c r="I5" s="2" t="str">
        <x:v>Complete totals remain blank while any row needs review.</x:v>
      </x:c>
      <x:c r="J5" s="2"/>
      <x:c r="K5" s="2"/>
    </x:row>
    <x:row r="6" ht="22" customHeight="1">
      <x:c r="A6" s="2" t="str">
        <x:v>Requested lines</x:v>
      </x:c>
      <x:c r="B6" s="2" t="n">
        <x:v>6</x:v>
      </x:c>
      <x:c r="C6" s="2"/>
      <x:c r="D6" s="2"/>
      <x:c r="E6" s="2" t="str">
        <x:v>USD</x:v>
      </x:c>
      <x:c r="F6" s="12" t="n">
        <x:f>IF(COUNTIFS(G13:G18,E6,H13:H18,"MATCHED_DRAFT")=0,"",SUMIFS(I13:I18,G13:G18,E6,H13:H18,"MATCHED_DRAFT"))</x:f>
        <x:v>32.5</x:v>
      </x:c>
      <x:c r="G6" s="12" t="str">
        <x:f>IF($B$7&gt;0,"",F6)</x:f>
      </x:c>
      <x:c r="H6" s="2"/>
      <x:c r="I6" s="2" t="str">
        <x:v>Correct source data and regenerate to change matching.</x:v>
      </x:c>
      <x:c r="J6" s="2"/>
      <x:c r="K6" s="2"/>
    </x:row>
    <x:row r="7" ht="22" customHeight="1">
      <x:c r="A7" s="2" t="str">
        <x:v>Review required</x:v>
      </x:c>
      <x:c r="B7" s="2" t="n">
        <x:f>COUNTIFS(H13:H18,"REVIEW")</x:f>
        <x:v>4</x:v>
      </x:c>
      <x:c r="C7" s="2"/>
      <x:c r="D7" s="2"/>
      <x:c r="E7" s="2" t="str">
        <x:v>EUR</x:v>
      </x:c>
      <x:c r="F7" s="12" t="str">
        <x:f>IF(COUNTIFS(G13:G18,E7,H13:H18,"MATCHED_DRAFT")=0,"",SUMIFS(I13:I18,G13:G18,E7,H13:H18,"MATCHED_DRAFT"))</x:f>
      </x:c>
      <x:c r="G7" s="12" t="str">
        <x:f>IF($B$7&gt;0,"",F7)</x:f>
      </x:c>
      <x:c r="H7" s="2"/>
      <x:c r="I7" s="2"/>
      <x:c r="J7" s="2"/>
      <x:c r="K7" s="2"/>
    </x:row>
    <x:row r="8" ht="22" customHeight="1">
      <x:c r="A8" s="2"/>
      <x:c r="B8" s="2"/>
      <x:c r="C8" s="2"/>
      <x:c r="D8" s="2"/>
      <x:c r="E8" s="2" t="str">
        <x:v>GBP</x:v>
      </x:c>
      <x:c r="F8" s="12" t="str">
        <x:f>IF(COUNTIFS(G13:G18,E8,H13:H18,"MATCHED_DRAFT")=0,"",SUMIFS(I13:I18,G13:G18,E8,H13:H18,"MATCHED_DRAFT"))</x:f>
      </x:c>
      <x:c r="G8" s="12" t="str">
        <x:f>IF($B$7&gt;0,"",F8)</x:f>
      </x:c>
      <x:c r="H8" s="2"/>
      <x:c r="I8" s="2"/>
      <x:c r="J8" s="2"/>
      <x:c r="K8" s="2"/>
    </x:row>
    <x:row r="9" ht="22" customHeight="1">
      <x:c r="A9" s="2"/>
      <x:c r="B9" s="2"/>
      <x:c r="C9" s="2"/>
      <x:c r="D9" s="2"/>
      <x:c r="E9" s="2" t="str">
        <x:v>CNY</x:v>
      </x:c>
      <x:c r="F9" s="12" t="str">
        <x:f>IF(COUNTIFS(G13:G18,E9,H13:H18,"MATCHED_DRAFT")=0,"",SUMIFS(I13:I18,G13:G18,E9,H13:H18,"MATCHED_DRAFT"))</x:f>
      </x:c>
      <x:c r="G9" s="12" t="str">
        <x:f>IF($B$7&gt;0,"",F9)</x:f>
      </x:c>
      <x:c r="H9" s="2"/>
      <x:c r="I9" s="2"/>
      <x:c r="J9" s="2"/>
      <x:c r="K9" s="2"/>
    </x:row>
    <x:row r="10" ht="22" customHeight="1">
      <x:c r="A10" s="4" t="str">
        <x:v>Source: synthetic rfq.pdf and catalogue.csv. No tax, freight, discounts or currency conversion.</x:v>
      </x:c>
      <x:c r="B10" s="2"/>
      <x:c r="C10" s="2"/>
      <x:c r="D10" s="2"/>
      <x:c r="E10" s="2"/>
      <x:c r="F10" s="2"/>
      <x:c r="G10" s="2"/>
      <x:c r="H10" s="2"/>
      <x:c r="I10" s="2"/>
      <x:c r="J10" s="2"/>
      <x:c r="K10" s="2"/>
    </x:row>
    <x:row r="11" ht="22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</x:row>
    <x:row r="12" ht="34" customHeight="1">
      <x:c r="A12" s="10" t="str">
        <x:v>Source row</x:v>
      </x:c>
      <x:c r="B12" s="10" t="str">
        <x:v>Product code</x:v>
      </x:c>
      <x:c r="C12" s="10" t="str">
        <x:v>Requested description</x:v>
      </x:c>
      <x:c r="D12" s="10" t="str">
        <x:v>Quantity</x:v>
      </x:c>
      <x:c r="E12" s="10" t="str">
        <x:v>Unit</x:v>
      </x:c>
      <x:c r="F12" s="10" t="str">
        <x:v>Approved unit price</x:v>
      </x:c>
      <x:c r="G12" s="10" t="str">
        <x:v>Currency</x:v>
      </x:c>
      <x:c r="H12" s="10" t="str">
        <x:v>Match status</x:v>
      </x:c>
      <x:c r="I12" s="10" t="str">
        <x:v>Line amount</x:v>
      </x:c>
      <x:c r="J12" s="10" t="str">
        <x:v>Review reason</x:v>
      </x:c>
      <x:c r="K12" s="10" t="str">
        <x:v>Price-list version</x:v>
      </x:c>
    </x:row>
    <x:row r="13" ht="36" customHeight="1">
      <x:c r="A13" s="2" t="str">
        <x:v>p1:line5</x:v>
      </x:c>
      <x:c r="B13" s="13" t="str">
        <x:v>MCB-16</x:v>
      </x:c>
      <x:c r="C13" s="16" t="str">
        <x:v>Circuit breaker 16A</x:v>
      </x:c>
      <x:c r="D13" s="14" t="n">
        <x:v>2</x:v>
      </x:c>
      <x:c r="E13" s="2" t="str">
        <x:v>EA</x:v>
      </x:c>
      <x:c r="F13" s="15" t="n">
        <x:v>8.75</x:v>
      </x:c>
      <x:c r="G13" s="2" t="str">
        <x:v>USD</x:v>
      </x:c>
      <x:c r="H13" s="2" t="str">
        <x:v>MATCHED_DRAFT</x:v>
      </x:c>
      <x:c r="I13" s="11" t="n">
        <x:f>IF(H13="MATCHED_DRAFT",ROUND(D13*F13,2),"")</x:f>
        <x:v>17.5</x:v>
      </x:c>
      <x:c r="J13" s="17" t="str"/>
      <x:c r="K13" s="2" t="str">
        <x:v>DEMO-2026-09-v1</x:v>
      </x:c>
    </x:row>
    <x:row r="14" ht="36" customHeight="1">
      <x:c r="A14" s="2" t="str">
        <x:v>p1:line6</x:v>
      </x:c>
      <x:c r="B14" s="13" t="str">
        <x:v>CABLE-25</x:v>
      </x:c>
      <x:c r="C14" s="16" t="str">
        <x:v>Cable 2.5 mm2</x:v>
      </x:c>
      <x:c r="D14" s="14" t="n">
        <x:v>12.5</x:v>
      </x:c>
      <x:c r="E14" s="2" t="str">
        <x:v>M</x:v>
      </x:c>
      <x:c r="F14" s="15" t="n">
        <x:v>1.2</x:v>
      </x:c>
      <x:c r="G14" s="2" t="str">
        <x:v>USD</x:v>
      </x:c>
      <x:c r="H14" s="2" t="str">
        <x:v>MATCHED_DRAFT</x:v>
      </x:c>
      <x:c r="I14" s="11" t="n">
        <x:f>IF(H14="MATCHED_DRAFT",ROUND(D14*F14,2),"")</x:f>
        <x:v>15</x:v>
      </x:c>
      <x:c r="J14" s="17" t="str"/>
      <x:c r="K14" s="2" t="str">
        <x:v>DEMO-2026-09-v1</x:v>
      </x:c>
    </x:row>
    <x:row r="15" ht="36" customHeight="1">
      <x:c r="A15" s="2" t="str">
        <x:v>p1:line7</x:v>
      </x:c>
      <x:c r="B15" s="13" t="str">
        <x:v>UNKNOWN-9</x:v>
      </x:c>
      <x:c r="C15" s="16" t="str">
        <x:v>Unlisted part</x:v>
      </x:c>
      <x:c r="D15" s="14" t="n">
        <x:v>1</x:v>
      </x:c>
      <x:c r="E15" s="2" t="str">
        <x:v>EA</x:v>
      </x:c>
      <x:c r="F15" s="15"/>
      <x:c r="G15" s="2" t="str"/>
      <x:c r="H15" s="2" t="str">
        <x:v>REVIEW</x:v>
      </x:c>
      <x:c r="I15" s="11" t="str">
        <x:f>IF(H15="MATCHED_DRAFT",ROUND(D15*F15,2),"")</x:f>
      </x:c>
      <x:c r="J15" s="17" t="str">
        <x:v>unknown product code</x:v>
      </x:c>
      <x:c r="K15" s="2" t="str"/>
    </x:row>
    <x:row r="16" ht="36" customHeight="1">
      <x:c r="A16" s="2" t="str">
        <x:v>p1:line8</x:v>
      </x:c>
      <x:c r="B16" s="13" t="str">
        <x:v>MCB-32</x:v>
      </x:c>
      <x:c r="C16" s="16" t="str">
        <x:v>Circuit breaker 32A</x:v>
      </x:c>
      <x:c r="D16" s="14" t="n">
        <x:v>3</x:v>
      </x:c>
      <x:c r="E16" s="2" t="str">
        <x:v>BOX</x:v>
      </x:c>
      <x:c r="F16" s="15"/>
      <x:c r="G16" s="2" t="str"/>
      <x:c r="H16" s="2" t="str">
        <x:v>REVIEW</x:v>
      </x:c>
      <x:c r="I16" s="11" t="str">
        <x:f>IF(H16="MATCHED_DRAFT",ROUND(D16*F16,2),"")</x:f>
      </x:c>
      <x:c r="J16" s="17" t="str">
        <x:v>unit mismatch or missing unit</x:v>
      </x:c>
      <x:c r="K16" s="2" t="str"/>
    </x:row>
    <x:row r="17" ht="36" customHeight="1">
      <x:c r="A17" s="2" t="str">
        <x:v>p1:line9</x:v>
      </x:c>
      <x:c r="B17" s="13" t="str">
        <x:v>RELAY-12</x:v>
      </x:c>
      <x:c r="C17" s="16" t="str">
        <x:v>Relay 12V</x:v>
      </x:c>
      <x:c r="D17" s="14" t="n">
        <x:v>0</x:v>
      </x:c>
      <x:c r="E17" s="2" t="str">
        <x:v>EA</x:v>
      </x:c>
      <x:c r="F17" s="15"/>
      <x:c r="G17" s="2" t="str"/>
      <x:c r="H17" s="2" t="str">
        <x:v>REVIEW</x:v>
      </x:c>
      <x:c r="I17" s="11" t="str">
        <x:f>IF(H17="MATCHED_DRAFT",ROUND(D17*F17,2),"")</x:f>
      </x:c>
      <x:c r="J17" s="17" t="str">
        <x:v>quantity must be positive</x:v>
      </x:c>
      <x:c r="K17" s="2" t="str"/>
    </x:row>
    <x:row r="18" ht="36" customHeight="1">
      <x:c r="A18" s="2" t="str">
        <x:v>p1:line10</x:v>
      </x:c>
      <x:c r="B18" s="13" t="str">
        <x:v>CONTACT-1</x:v>
      </x:c>
      <x:c r="C18" s="16" t="str">
        <x:v>Contactor</x:v>
      </x:c>
      <x:c r="D18" s="14" t="n">
        <x:v>1</x:v>
      </x:c>
      <x:c r="E18" s="2" t="str">
        <x:v>EA</x:v>
      </x:c>
      <x:c r="F18" s="15"/>
      <x:c r="G18" s="2" t="str"/>
      <x:c r="H18" s="2" t="str">
        <x:v>REVIEW</x:v>
      </x:c>
      <x:c r="I18" s="11" t="str">
        <x:f>IF(H18="MATCHED_DRAFT",ROUND(D18*F18,2),"")</x:f>
      </x:c>
      <x:c r="J18" s="17" t="str">
        <x:v>duplicate catalogue code</x:v>
      </x:c>
      <x:c r="K18" s="2" t="str"/>
    </x:row>
    <x:row r="19" ht="22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</x:row>
  </x:sheetData>
  <x:conditionalFormatting sqref="A13:K18">
    <x:cfRule type="expression" dxfId="0" priority="1">
      <x:formula>$H13="REVIEW"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17470adb5784372"/>
  </x:tableParts>
</x:worksheet>
</file>